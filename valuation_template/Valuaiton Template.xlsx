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ko\OneDrive\Investing\Gold\"/>
    </mc:Choice>
  </mc:AlternateContent>
  <xr:revisionPtr revIDLastSave="0" documentId="11_3A77A29BF56D535837BD69C1395CDDB4FC03BB2D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ck Screening" sheetId="1" r:id="rId1"/>
    <sheet name="Moat" sheetId="4" r:id="rId2"/>
    <sheet name="DCF Analysis" sheetId="2" r:id="rId3"/>
    <sheet name="Phil Towns - Margin of Safety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C9" i="1"/>
  <c r="D7" i="1"/>
  <c r="E7" i="1"/>
  <c r="F7" i="1"/>
  <c r="G7" i="1"/>
  <c r="H7" i="1"/>
  <c r="I7" i="1"/>
  <c r="J7" i="1"/>
  <c r="K7" i="1"/>
  <c r="L7" i="1"/>
  <c r="C7" i="1"/>
  <c r="D4" i="4" l="1"/>
  <c r="C4" i="4"/>
  <c r="B4" i="4"/>
  <c r="D6" i="4"/>
  <c r="C6" i="4"/>
  <c r="B6" i="4"/>
  <c r="D5" i="4"/>
  <c r="C5" i="4"/>
  <c r="B5" i="4"/>
  <c r="D2" i="4"/>
  <c r="C2" i="4"/>
  <c r="B2" i="4"/>
  <c r="D3" i="4"/>
  <c r="C3" i="4"/>
  <c r="B3" i="4"/>
  <c r="G22" i="4"/>
  <c r="B12" i="3"/>
  <c r="C12" i="3"/>
  <c r="D12" i="3"/>
  <c r="E12" i="3"/>
  <c r="F12" i="3"/>
  <c r="B13" i="2"/>
  <c r="B14" i="2" s="1"/>
  <c r="G12" i="3"/>
  <c r="H12" i="3"/>
  <c r="I12" i="3"/>
  <c r="J12" i="3"/>
  <c r="K12" i="3"/>
  <c r="K13" i="3"/>
  <c r="J13" i="3"/>
  <c r="I13" i="3"/>
  <c r="H13" i="3"/>
  <c r="G13" i="3"/>
  <c r="F13" i="3"/>
  <c r="E13" i="3"/>
  <c r="D13" i="3"/>
  <c r="C13" i="3"/>
  <c r="B13" i="3"/>
  <c r="B14" i="3"/>
  <c r="C14" i="2" l="1"/>
  <c r="B15" i="2"/>
  <c r="C13" i="2"/>
  <c r="C15" i="2" l="1"/>
  <c r="B16" i="2"/>
  <c r="B17" i="2" l="1"/>
  <c r="C16" i="2"/>
  <c r="C17" i="2" l="1"/>
  <c r="B18" i="2"/>
  <c r="B19" i="2" l="1"/>
  <c r="C18" i="2"/>
  <c r="C19" i="2" l="1"/>
  <c r="B20" i="2"/>
  <c r="B21" i="2" l="1"/>
  <c r="C20" i="2"/>
  <c r="B22" i="2" l="1"/>
  <c r="C21" i="2"/>
  <c r="B23" i="2" l="1"/>
  <c r="C23" i="2" s="1"/>
  <c r="C22" i="2"/>
  <c r="C24" i="2" l="1"/>
  <c r="C25" i="2" l="1"/>
  <c r="C27" i="2" s="1"/>
  <c r="C26" i="2"/>
  <c r="C29" i="2" l="1"/>
  <c r="C28" i="2"/>
</calcChain>
</file>

<file path=xl/sharedStrings.xml><?xml version="1.0" encoding="utf-8"?>
<sst xmlns="http://schemas.openxmlformats.org/spreadsheetml/2006/main" count="120" uniqueCount="106">
  <si>
    <t>Name</t>
  </si>
  <si>
    <t>Last 10 years/12 Quarters</t>
  </si>
  <si>
    <t>Ticker</t>
  </si>
  <si>
    <t>Consistent Growth over time?</t>
  </si>
  <si>
    <t>Average</t>
  </si>
  <si>
    <t>Positive&amp;Growing?</t>
  </si>
  <si>
    <t>Gold Price</t>
  </si>
  <si>
    <t>%</t>
  </si>
  <si>
    <t>Revenu Growth (10 Years)</t>
  </si>
  <si>
    <t>(Revenue-Operating Expenses)/Revenue</t>
  </si>
  <si>
    <t>Can be only Positive</t>
  </si>
  <si>
    <t>Operating Income</t>
  </si>
  <si>
    <t>(Operating Cash Flow-Capital Expenditures)</t>
  </si>
  <si>
    <t>Net Income</t>
  </si>
  <si>
    <t>Operating Margin  (%)</t>
  </si>
  <si>
    <t>Free Cash Flow from Operating Activities</t>
  </si>
  <si>
    <t>ROIC (%)</t>
  </si>
  <si>
    <t>10-Year Annual Growth Rate /Moat</t>
  </si>
  <si>
    <t>&gt; 10% ?</t>
  </si>
  <si>
    <t>Earnings per Share (EPS)</t>
  </si>
  <si>
    <t>Equity Growth</t>
  </si>
  <si>
    <t>Management</t>
  </si>
  <si>
    <t>Return on Invested Capital (ROIC)</t>
  </si>
  <si>
    <t>&gt; 15% ?</t>
  </si>
  <si>
    <t>10-Year</t>
  </si>
  <si>
    <t>Debt/Equity</t>
  </si>
  <si>
    <t>&lt; 0.5 ?</t>
  </si>
  <si>
    <t>2x equity to debt</t>
  </si>
  <si>
    <t>shares outsdanding</t>
  </si>
  <si>
    <t>operating expenses</t>
  </si>
  <si>
    <t>investing cash flow (how much are they innvesting)</t>
  </si>
  <si>
    <t>The Big 5 Growth Rate</t>
  </si>
  <si>
    <t>1-Year</t>
  </si>
  <si>
    <t>5-Year</t>
  </si>
  <si>
    <t>Moat</t>
  </si>
  <si>
    <t>Yes/No</t>
  </si>
  <si>
    <t>ROIC (in %)</t>
  </si>
  <si>
    <t>&gt; 10% ???</t>
  </si>
  <si>
    <t>Brand</t>
  </si>
  <si>
    <t xml:space="preserve">Sales (put in revenue) </t>
  </si>
  <si>
    <t>consistency ???</t>
  </si>
  <si>
    <t>Patent/Secret</t>
  </si>
  <si>
    <t xml:space="preserve">EPS </t>
  </si>
  <si>
    <t>Exclusive control of the market</t>
  </si>
  <si>
    <t>Book Value/Equity (per share)</t>
  </si>
  <si>
    <t>A business that is so much part of your life that it isn't worth switching</t>
  </si>
  <si>
    <t>Free Cash Flow</t>
  </si>
  <si>
    <t>Price</t>
  </si>
  <si>
    <t>Margins</t>
  </si>
  <si>
    <t>Long Term Debt/Free Cash Flow</t>
  </si>
  <si>
    <t>&lt; 3 ???</t>
  </si>
  <si>
    <t>Can debt be paid back in less than 3 years of full cash flow</t>
  </si>
  <si>
    <t>TTM</t>
  </si>
  <si>
    <t>Equity Per Share</t>
  </si>
  <si>
    <t>Revenue</t>
  </si>
  <si>
    <t>EPS</t>
  </si>
  <si>
    <t>PE</t>
  </si>
  <si>
    <t>P/S</t>
  </si>
  <si>
    <t>P/Book</t>
  </si>
  <si>
    <t>Input</t>
  </si>
  <si>
    <t>Wells Fargo</t>
  </si>
  <si>
    <t>WCF</t>
  </si>
  <si>
    <t>Year 1 Free Cash Flow</t>
  </si>
  <si>
    <t xml:space="preserve">Check Past FCF Records </t>
  </si>
  <si>
    <t>Growth Rate (Years 1-5)</t>
  </si>
  <si>
    <t xml:space="preserve">Check Past Growth Records + Growth Estimates on Yahoo </t>
  </si>
  <si>
    <t>In %</t>
  </si>
  <si>
    <t>Growth Rate (Years 6-10)</t>
  </si>
  <si>
    <t>Discount Rate (Multiple of FCF)</t>
  </si>
  <si>
    <t xml:space="preserve">Expected Return - Discount Cash Flow at 15% a Year </t>
  </si>
  <si>
    <t>Terminal Value (Multiple of FCF)</t>
  </si>
  <si>
    <t>Between 10-15 (Depends on the Quality of Business - Better Quality, Higher Number)</t>
  </si>
  <si>
    <t>What could we Theoretically sell the Business for in Year 10</t>
  </si>
  <si>
    <t>Cash</t>
  </si>
  <si>
    <t>Shares Outstanding</t>
  </si>
  <si>
    <t>Year</t>
  </si>
  <si>
    <t>Present Value/Discounted Free Cash Flow</t>
  </si>
  <si>
    <t>Sale of the Stock</t>
  </si>
  <si>
    <t>Present Value of Future Cash Flows</t>
  </si>
  <si>
    <t>Intrinsic Value (Market Cap)</t>
  </si>
  <si>
    <t>Present Value + Net Cash</t>
  </si>
  <si>
    <t>Intrinsic Value (Enterprise Value)</t>
  </si>
  <si>
    <t>For Companies With a lot of Debt relative to Assets</t>
  </si>
  <si>
    <t>You compare the Enterprise Value on Yahoo&amp;forget about Market Cap</t>
  </si>
  <si>
    <t>Intrinsic Value per Share</t>
  </si>
  <si>
    <t>30% Margin of Safety</t>
  </si>
  <si>
    <t>50% Margin of Safety</t>
  </si>
  <si>
    <t>Price: 120 !</t>
  </si>
  <si>
    <t>Inputs</t>
  </si>
  <si>
    <t>Comments</t>
  </si>
  <si>
    <t>Wells Fatgo</t>
  </si>
  <si>
    <t>You calculate the earnings based on growth, the calculate the price of the share in year 10 based on P/E ratio and work back based on 15% expected return to get todays share price</t>
  </si>
  <si>
    <t>EPS TTM</t>
  </si>
  <si>
    <t>Earnings per Share trailing 12 Months</t>
  </si>
  <si>
    <t>Past Growth Records + Growt Estimates from Yahoo</t>
  </si>
  <si>
    <t>Minimu Rate of Return</t>
  </si>
  <si>
    <t>Expected - Between 10% and 20% - Use 15%</t>
  </si>
  <si>
    <t>Margin of Safety</t>
  </si>
  <si>
    <t>Between 30% to 50%</t>
  </si>
  <si>
    <t>P/E Ratio</t>
  </si>
  <si>
    <t>How many Times the Earnings do we expect to sell the Company in the Future</t>
  </si>
  <si>
    <t xml:space="preserve">2*Growth Rate or </t>
  </si>
  <si>
    <t xml:space="preserve">Msn Money/Analysis/Price Ratio - Averga of 5-Year High and 5-Year Low P/E Ratio </t>
  </si>
  <si>
    <t>Choose the lower option</t>
  </si>
  <si>
    <t>Share Price</t>
  </si>
  <si>
    <t>Buy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</si>
</sst>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444444"/>
      <name val="Arial"/>
      <family val="2"/>
    </font>
    <font>
      <sz val="10"/>
      <color rgb="FFFF0000"/>
      <name val="Arial"/>
      <family val="2"/>
    </font>
    <font>
      <sz val="8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44" fontId="0" fillId="0" borderId="0" xfId="2" applyFont="1"/>
    <xf numFmtId="9" fontId="0" fillId="0" borderId="0" xfId="3" applyFont="1"/>
    <xf numFmtId="43" fontId="0" fillId="0" borderId="0" xfId="0" applyNumberFormat="1"/>
    <xf numFmtId="4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2" fontId="0" fillId="0" borderId="0" xfId="3" applyNumberFormat="1" applyFont="1"/>
    <xf numFmtId="3" fontId="0" fillId="0" borderId="0" xfId="0" applyNumberFormat="1"/>
    <xf numFmtId="3" fontId="4" fillId="0" borderId="0" xfId="0" applyNumberFormat="1" applyFont="1"/>
    <xf numFmtId="3" fontId="5" fillId="2" borderId="0" xfId="0" applyNumberFormat="1" applyFont="1" applyFill="1"/>
    <xf numFmtId="3" fontId="4" fillId="2" borderId="0" xfId="0" applyNumberFormat="1" applyFont="1" applyFill="1"/>
    <xf numFmtId="3" fontId="6" fillId="0" borderId="0" xfId="0" applyNumberFormat="1" applyFont="1"/>
    <xf numFmtId="3" fontId="7" fillId="0" borderId="0" xfId="0" applyNumberFormat="1" applyFont="1"/>
    <xf numFmtId="3" fontId="5" fillId="0" borderId="0" xfId="0" applyNumberFormat="1" applyFont="1"/>
    <xf numFmtId="6" fontId="2" fillId="0" borderId="0" xfId="0" applyNumberFormat="1" applyFont="1"/>
    <xf numFmtId="3" fontId="8" fillId="0" borderId="0" xfId="0" applyNumberFormat="1" applyFont="1"/>
    <xf numFmtId="0" fontId="8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'Stock Screening'!$B$8:$L$8</c:f>
              <c:numCache>
                <c:formatCode>General</c:formatCode>
                <c:ptCount val="11"/>
                <c:pt idx="0">
                  <c:v>411000000</c:v>
                </c:pt>
                <c:pt idx="1">
                  <c:v>427000000</c:v>
                </c:pt>
                <c:pt idx="2" formatCode="&quot;$&quot;#,##0_);[Red]\(&quot;$&quot;#,##0\)">
                  <c:v>401000000</c:v>
                </c:pt>
                <c:pt idx="3">
                  <c:v>442000000</c:v>
                </c:pt>
                <c:pt idx="4">
                  <c:v>444000000</c:v>
                </c:pt>
                <c:pt idx="5">
                  <c:v>610000000</c:v>
                </c:pt>
                <c:pt idx="6" formatCode="&quot;$&quot;#,##0_);[Red]\(&quot;$&quot;#,##0\)">
                  <c:v>675000000</c:v>
                </c:pt>
                <c:pt idx="7" formatCode="#,##0">
                  <c:v>653000000</c:v>
                </c:pt>
                <c:pt idx="8">
                  <c:v>844000000</c:v>
                </c:pt>
                <c:pt idx="9" formatCode="#,##0">
                  <c:v>1020000000</c:v>
                </c:pt>
                <c:pt idx="10" formatCode="#,##0">
                  <c:v>1300000000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3-45FD-A2A1-A0266BF3F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474799"/>
        <c:axId val="9204752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'Stock Screening'!$B$6:$K$6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1574</c:v>
                      </c:pt>
                      <c:pt idx="1">
                        <c:v>1664</c:v>
                      </c:pt>
                      <c:pt idx="2">
                        <c:v>1201</c:v>
                      </c:pt>
                      <c:pt idx="3">
                        <c:v>1199</c:v>
                      </c:pt>
                      <c:pt idx="4">
                        <c:v>1060</c:v>
                      </c:pt>
                      <c:pt idx="5">
                        <c:v>1151</c:v>
                      </c:pt>
                      <c:pt idx="6">
                        <c:v>1296</c:v>
                      </c:pt>
                      <c:pt idx="7">
                        <c:v>1281</c:v>
                      </c:pt>
                      <c:pt idx="8">
                        <c:v>1523</c:v>
                      </c:pt>
                      <c:pt idx="9">
                        <c:v>1895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EB3-45FD-A2A1-A0266BF3F69D}"/>
                  </c:ext>
                </c:extLst>
              </c15:ser>
            </c15:filteredLineSeries>
          </c:ext>
        </c:extLst>
      </c:lineChart>
      <c:catAx>
        <c:axId val="920474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75215"/>
        <c:crosses val="autoZero"/>
        <c:auto val="1"/>
        <c:lblAlgn val="ctr"/>
        <c:lblOffset val="100"/>
        <c:noMultiLvlLbl val="0"/>
      </c:catAx>
      <c:valAx>
        <c:axId val="9204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7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'Stock Screening'!$B$6:$L$6</c:f>
              <c:numCache>
                <c:formatCode>General</c:formatCode>
                <c:ptCount val="11"/>
                <c:pt idx="0">
                  <c:v>1574</c:v>
                </c:pt>
                <c:pt idx="1">
                  <c:v>1664</c:v>
                </c:pt>
                <c:pt idx="2">
                  <c:v>1201</c:v>
                </c:pt>
                <c:pt idx="3">
                  <c:v>1199</c:v>
                </c:pt>
                <c:pt idx="4">
                  <c:v>1060</c:v>
                </c:pt>
                <c:pt idx="5">
                  <c:v>1151</c:v>
                </c:pt>
                <c:pt idx="6">
                  <c:v>1296</c:v>
                </c:pt>
                <c:pt idx="7">
                  <c:v>1281</c:v>
                </c:pt>
                <c:pt idx="8">
                  <c:v>1523</c:v>
                </c:pt>
                <c:pt idx="9">
                  <c:v>1895</c:v>
                </c:pt>
                <c:pt idx="10">
                  <c:v>1668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D-4529-AD9C-9370435E8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7464143"/>
        <c:axId val="917462895"/>
      </c:lineChart>
      <c:catAx>
        <c:axId val="91746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62895"/>
        <c:crosses val="autoZero"/>
        <c:auto val="1"/>
        <c:lblAlgn val="ctr"/>
        <c:lblOffset val="100"/>
        <c:noMultiLvlLbl val="0"/>
      </c:catAx>
      <c:valAx>
        <c:axId val="91746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6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1172584</xdr:colOff>
      <xdr:row>18</xdr:row>
      <xdr:rowOff>119007</xdr:rowOff>
    </xdr:from>
    <xdr:to>
      <xdr:col>7</xdr:col>
      <xdr:colOff>814444</xdr:colOff>
      <xdr:row>33</xdr:row>
      <xdr:rowOff>119006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1335741</xdr:colOff>
      <xdr:row>33</xdr:row>
      <xdr:rowOff>103093</xdr:rowOff>
    </xdr:from>
    <xdr:to>
      <xdr:col>7</xdr:col>
      <xdr:colOff>977153</xdr:colOff>
      <xdr:row>48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="70" zoomScaleNormal="70" workbookViewId="0">
      <selection activeCell="M39" sqref="M39"/>
    </sheetView>
  </sheetViews>
  <sheetFormatPr defaultRowHeight="14.45"/>
  <cols>
    <col min="1" max="1" width="35.28515625" bestFit="1" customWidth="1"/>
    <col min="2" max="2" width="14.85546875" bestFit="1" customWidth="1"/>
    <col min="3" max="3" width="15.5703125" bestFit="1" customWidth="1"/>
    <col min="4" max="4" width="27.28515625" bestFit="1" customWidth="1"/>
    <col min="5" max="11" width="14.85546875" bestFit="1" customWidth="1"/>
    <col min="12" max="13" width="16" bestFit="1" customWidth="1"/>
    <col min="14" max="14" width="16.42578125" bestFit="1" customWidth="1"/>
    <col min="15" max="15" width="36.7109375" bestFit="1" customWidth="1"/>
    <col min="16" max="16" width="33" bestFit="1" customWidth="1"/>
  </cols>
  <sheetData>
    <row r="1" spans="1:17">
      <c r="A1" t="s">
        <v>0</v>
      </c>
      <c r="D1" t="s">
        <v>1</v>
      </c>
    </row>
    <row r="2" spans="1:17">
      <c r="A2" t="s">
        <v>2</v>
      </c>
      <c r="D2" t="s">
        <v>3</v>
      </c>
    </row>
    <row r="5" spans="1:17">
      <c r="B5">
        <v>2011</v>
      </c>
      <c r="C5">
        <v>2012</v>
      </c>
      <c r="D5">
        <v>2013</v>
      </c>
      <c r="E5">
        <v>2014</v>
      </c>
      <c r="F5">
        <v>2015</v>
      </c>
      <c r="G5">
        <v>2016</v>
      </c>
      <c r="H5">
        <v>2017</v>
      </c>
      <c r="I5">
        <v>2018</v>
      </c>
      <c r="J5">
        <v>2019</v>
      </c>
      <c r="K5">
        <v>2020</v>
      </c>
      <c r="L5">
        <v>2021</v>
      </c>
      <c r="M5">
        <v>2022</v>
      </c>
      <c r="N5" t="s">
        <v>4</v>
      </c>
      <c r="O5" t="s">
        <v>5</v>
      </c>
    </row>
    <row r="6" spans="1:17">
      <c r="A6" t="s">
        <v>6</v>
      </c>
      <c r="B6">
        <v>1574</v>
      </c>
      <c r="C6">
        <v>1664</v>
      </c>
      <c r="D6">
        <v>1201</v>
      </c>
      <c r="E6">
        <v>1199</v>
      </c>
      <c r="F6">
        <v>1060</v>
      </c>
      <c r="G6">
        <v>1151</v>
      </c>
      <c r="H6">
        <v>1296</v>
      </c>
      <c r="I6">
        <v>1281</v>
      </c>
      <c r="J6">
        <v>1523</v>
      </c>
      <c r="K6">
        <v>1895</v>
      </c>
      <c r="L6">
        <v>1668</v>
      </c>
    </row>
    <row r="7" spans="1:17">
      <c r="A7" t="s">
        <v>7</v>
      </c>
      <c r="C7" s="3">
        <f>C$6/B$6 - 1</f>
        <v>5.7179161372299836E-2</v>
      </c>
      <c r="D7" s="3">
        <f t="shared" ref="D7:L7" si="0">D$6/C$6 - 1</f>
        <v>-0.27824519230769229</v>
      </c>
      <c r="E7" s="3">
        <f t="shared" si="0"/>
        <v>-1.6652789342215257E-3</v>
      </c>
      <c r="F7" s="3">
        <f t="shared" si="0"/>
        <v>-0.11592994161801506</v>
      </c>
      <c r="G7" s="3">
        <f t="shared" si="0"/>
        <v>8.584905660377351E-2</v>
      </c>
      <c r="H7" s="3">
        <f t="shared" si="0"/>
        <v>0.12597741094700265</v>
      </c>
      <c r="I7" s="3">
        <f t="shared" si="0"/>
        <v>-1.157407407407407E-2</v>
      </c>
      <c r="J7" s="3">
        <f t="shared" si="0"/>
        <v>0.18891491022638562</v>
      </c>
      <c r="K7" s="3">
        <f t="shared" si="0"/>
        <v>0.24425476034143134</v>
      </c>
      <c r="L7" s="3">
        <f t="shared" si="0"/>
        <v>-0.11978891820580473</v>
      </c>
    </row>
    <row r="8" spans="1:17">
      <c r="A8" t="s">
        <v>8</v>
      </c>
      <c r="B8" s="7">
        <v>411000000</v>
      </c>
      <c r="C8" s="7">
        <v>427000000</v>
      </c>
      <c r="D8" s="17">
        <v>401000000</v>
      </c>
      <c r="E8" s="7">
        <v>442000000</v>
      </c>
      <c r="F8" s="7">
        <v>444000000</v>
      </c>
      <c r="G8" s="7">
        <v>610000000</v>
      </c>
      <c r="H8" s="17">
        <v>675000000</v>
      </c>
      <c r="I8" s="11">
        <v>653000000</v>
      </c>
      <c r="J8" s="7">
        <v>844000000</v>
      </c>
      <c r="K8" s="6">
        <v>1020000000</v>
      </c>
      <c r="L8" s="6">
        <v>1300000000</v>
      </c>
      <c r="M8" s="10"/>
    </row>
    <row r="9" spans="1:17">
      <c r="C9" s="3">
        <f>C$8/B$8 - 1</f>
        <v>3.8929440389294356E-2</v>
      </c>
      <c r="D9" s="3">
        <f t="shared" ref="D9:L9" si="1">D$8/C$8 - 1</f>
        <v>-6.0889929742388715E-2</v>
      </c>
      <c r="E9" s="3">
        <f t="shared" si="1"/>
        <v>0.10224438902743138</v>
      </c>
      <c r="F9" s="3">
        <f t="shared" si="1"/>
        <v>4.5248868778280382E-3</v>
      </c>
      <c r="G9" s="3">
        <f t="shared" si="1"/>
        <v>0.37387387387387383</v>
      </c>
      <c r="H9" s="3">
        <f t="shared" si="1"/>
        <v>0.10655737704918034</v>
      </c>
      <c r="I9" s="3">
        <f t="shared" si="1"/>
        <v>-3.2592592592592617E-2</v>
      </c>
      <c r="J9" s="3">
        <f t="shared" si="1"/>
        <v>0.29249617151607965</v>
      </c>
      <c r="K9" s="3">
        <f t="shared" si="1"/>
        <v>0.20853080568720372</v>
      </c>
      <c r="L9" s="3">
        <f t="shared" si="1"/>
        <v>0.27450980392156854</v>
      </c>
      <c r="P9" t="s">
        <v>9</v>
      </c>
      <c r="Q9" t="s">
        <v>10</v>
      </c>
    </row>
    <row r="10" spans="1:17">
      <c r="A10" t="s">
        <v>11</v>
      </c>
      <c r="B10" s="11">
        <v>6673000000</v>
      </c>
      <c r="C10" s="12">
        <v>-322000000</v>
      </c>
      <c r="D10" s="12">
        <v>-8715000000</v>
      </c>
      <c r="E10" s="12">
        <v>-1557000000</v>
      </c>
      <c r="F10" s="12">
        <v>-2366000000</v>
      </c>
      <c r="G10" s="11">
        <v>2780000000</v>
      </c>
      <c r="H10" s="11">
        <v>2629000000</v>
      </c>
      <c r="I10" s="13">
        <v>488000000</v>
      </c>
      <c r="J10" s="11">
        <v>3670000000</v>
      </c>
      <c r="K10" s="11">
        <v>4877000000</v>
      </c>
      <c r="L10" s="11">
        <v>4503000000</v>
      </c>
      <c r="M10" s="10"/>
      <c r="P10" t="s">
        <v>12</v>
      </c>
    </row>
    <row r="11" spans="1:17">
      <c r="A11" t="s">
        <v>13</v>
      </c>
      <c r="B11" s="14">
        <v>4484000000</v>
      </c>
      <c r="C11" s="15">
        <v>-538000000</v>
      </c>
      <c r="D11" s="15">
        <v>-10366000000</v>
      </c>
      <c r="E11" s="15">
        <v>-2907000000</v>
      </c>
      <c r="F11" s="15">
        <v>-2838000000</v>
      </c>
      <c r="G11" s="14">
        <v>655000000</v>
      </c>
      <c r="H11" s="11">
        <v>1438000000</v>
      </c>
      <c r="I11" s="16">
        <v>-1545000000</v>
      </c>
      <c r="J11" s="11">
        <v>3969000000</v>
      </c>
      <c r="K11" s="11">
        <v>2324000000</v>
      </c>
      <c r="L11" s="11">
        <v>2022000000</v>
      </c>
      <c r="M11" s="10"/>
    </row>
    <row r="12" spans="1:17">
      <c r="A12" t="s">
        <v>14</v>
      </c>
      <c r="B12">
        <v>46.8</v>
      </c>
      <c r="C12">
        <v>-2.2999999999999998</v>
      </c>
      <c r="D12">
        <v>-69.5</v>
      </c>
      <c r="E12">
        <v>-15.2</v>
      </c>
      <c r="F12">
        <v>-26.2</v>
      </c>
      <c r="G12">
        <v>32.479999999999997</v>
      </c>
      <c r="H12" s="11">
        <v>31.39</v>
      </c>
      <c r="I12" s="10">
        <v>6.7</v>
      </c>
      <c r="J12" s="11">
        <v>37.76</v>
      </c>
      <c r="K12" s="11">
        <v>38.700000000000003</v>
      </c>
      <c r="L12" s="11">
        <v>37.5</v>
      </c>
    </row>
    <row r="13" spans="1:17">
      <c r="A13" t="s">
        <v>15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7">
      <c r="A14" t="s">
        <v>16</v>
      </c>
      <c r="B14">
        <v>11.7</v>
      </c>
      <c r="C14">
        <v>-0.99099999999999999</v>
      </c>
      <c r="D14">
        <v>-34.935000000000002</v>
      </c>
      <c r="E14">
        <v>-11.55</v>
      </c>
      <c r="F14">
        <v>-16.190000000000001</v>
      </c>
      <c r="G14">
        <v>4.75</v>
      </c>
      <c r="H14">
        <v>8.69</v>
      </c>
      <c r="I14">
        <v>-9.51</v>
      </c>
      <c r="J14">
        <v>13.07</v>
      </c>
      <c r="K14">
        <v>9.8000000000000007</v>
      </c>
      <c r="L14">
        <v>8.7799999999999994</v>
      </c>
    </row>
    <row r="15" spans="1:17">
      <c r="A15" t="s">
        <v>17</v>
      </c>
      <c r="B15" t="s">
        <v>18</v>
      </c>
    </row>
    <row r="16" spans="1:17">
      <c r="A16" t="s">
        <v>19</v>
      </c>
      <c r="B16" s="7">
        <v>-0.05</v>
      </c>
      <c r="C16" s="7">
        <v>0.72</v>
      </c>
      <c r="D16" s="7">
        <v>0.08</v>
      </c>
      <c r="E16" s="7">
        <v>0.7</v>
      </c>
      <c r="F16" s="7">
        <v>0.16</v>
      </c>
      <c r="G16" s="7">
        <v>0.69</v>
      </c>
      <c r="H16" s="7">
        <v>1.06</v>
      </c>
      <c r="I16" s="7">
        <v>0.75</v>
      </c>
      <c r="J16" s="7">
        <v>1.83</v>
      </c>
      <c r="K16" s="7">
        <v>1.71</v>
      </c>
      <c r="L16" s="7">
        <v>3.83</v>
      </c>
    </row>
    <row r="17" spans="1:13">
      <c r="A17" t="s">
        <v>20</v>
      </c>
      <c r="B17" s="7">
        <v>136000000</v>
      </c>
      <c r="C17" s="7">
        <v>143000000</v>
      </c>
      <c r="D17" s="7">
        <v>147000000</v>
      </c>
      <c r="E17" s="7">
        <v>152000000</v>
      </c>
      <c r="F17" s="7">
        <v>157000000</v>
      </c>
      <c r="G17" s="7">
        <v>176000000</v>
      </c>
      <c r="H17" s="7">
        <v>183000000</v>
      </c>
      <c r="I17" s="7">
        <v>186000000</v>
      </c>
      <c r="J17" s="7">
        <v>188000000</v>
      </c>
      <c r="K17" s="7">
        <v>191000000</v>
      </c>
      <c r="L17" s="7">
        <v>192000000</v>
      </c>
      <c r="M17" s="10"/>
    </row>
    <row r="19" spans="1:13">
      <c r="A19" t="s">
        <v>21</v>
      </c>
    </row>
    <row r="20" spans="1:13">
      <c r="A20" t="s">
        <v>22</v>
      </c>
      <c r="B20" t="s">
        <v>23</v>
      </c>
      <c r="C20" t="s">
        <v>24</v>
      </c>
    </row>
    <row r="21" spans="1:13">
      <c r="A21" t="s">
        <v>25</v>
      </c>
      <c r="B21" t="s">
        <v>26</v>
      </c>
      <c r="C21" t="s">
        <v>27</v>
      </c>
    </row>
    <row r="23" spans="1:13">
      <c r="A23" t="s">
        <v>28</v>
      </c>
    </row>
    <row r="24" spans="1:13">
      <c r="A24" t="s">
        <v>29</v>
      </c>
    </row>
    <row r="26" spans="1:13">
      <c r="A26" t="s">
        <v>30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activeCell="A24" sqref="A24"/>
    </sheetView>
  </sheetViews>
  <sheetFormatPr defaultRowHeight="14.45"/>
  <cols>
    <col min="1" max="1" width="27.28515625" bestFit="1" customWidth="1"/>
    <col min="2" max="2" width="12.7109375" bestFit="1" customWidth="1"/>
    <col min="3" max="3" width="12" bestFit="1" customWidth="1"/>
    <col min="4" max="4" width="48.7109375" bestFit="1" customWidth="1"/>
    <col min="5" max="5" width="13.7109375" bestFit="1" customWidth="1"/>
    <col min="6" max="6" width="8.85546875" customWidth="1"/>
    <col min="7" max="7" width="58.85546875" bestFit="1" customWidth="1"/>
    <col min="8" max="8" width="7" bestFit="1" customWidth="1"/>
  </cols>
  <sheetData>
    <row r="1" spans="1:12">
      <c r="A1" t="s">
        <v>31</v>
      </c>
      <c r="B1" t="s">
        <v>32</v>
      </c>
      <c r="C1" t="s">
        <v>33</v>
      </c>
      <c r="D1" t="s">
        <v>24</v>
      </c>
      <c r="G1" t="s">
        <v>34</v>
      </c>
      <c r="H1" t="s">
        <v>35</v>
      </c>
    </row>
    <row r="2" spans="1:12">
      <c r="A2" t="s">
        <v>36</v>
      </c>
      <c r="B2" s="3">
        <f>C15/D15 - 1</f>
        <v>-0.11111111111111116</v>
      </c>
      <c r="C2" s="3">
        <f>C15/G15 - 1</f>
        <v>-0.18644067796610175</v>
      </c>
      <c r="D2" s="3">
        <f>C15/L15 - 1</f>
        <v>6.6666666666666652E-2</v>
      </c>
      <c r="E2" t="s">
        <v>37</v>
      </c>
      <c r="G2" t="s">
        <v>38</v>
      </c>
    </row>
    <row r="3" spans="1:12">
      <c r="A3" t="s">
        <v>39</v>
      </c>
      <c r="B3" s="3">
        <f>C18/D18 -1</f>
        <v>2.825054423114981E-2</v>
      </c>
      <c r="C3" s="3">
        <f>C18/H18 -1</f>
        <v>0.17588150092789578</v>
      </c>
      <c r="D3" s="3">
        <f>C18/L18 - 1</f>
        <v>0.11438192366674182</v>
      </c>
      <c r="E3" t="s">
        <v>40</v>
      </c>
      <c r="G3" t="s">
        <v>41</v>
      </c>
    </row>
    <row r="4" spans="1:12">
      <c r="A4" t="s">
        <v>42</v>
      </c>
      <c r="B4" s="3">
        <f>C19/D19-1</f>
        <v>-5.3738317757009435E-2</v>
      </c>
      <c r="C4" s="3">
        <f>C19/G19-1</f>
        <v>-1.6990291262136026E-2</v>
      </c>
      <c r="D4" s="3">
        <f>C19/L19 -1</f>
        <v>0.83257918552036192</v>
      </c>
      <c r="G4" t="s">
        <v>43</v>
      </c>
    </row>
    <row r="5" spans="1:12">
      <c r="A5" t="s">
        <v>44</v>
      </c>
      <c r="B5" s="3">
        <f>C16/D16 - 1</f>
        <v>5.8139534883721034E-2</v>
      </c>
      <c r="C5" s="3">
        <f>(C16/H16) - 1</f>
        <v>0.27094972067039125</v>
      </c>
      <c r="D5" s="3">
        <f>C16/L16 - 1</f>
        <v>0.87242798353909468</v>
      </c>
      <c r="G5" t="s">
        <v>45</v>
      </c>
    </row>
    <row r="6" spans="1:12">
      <c r="A6" t="s">
        <v>46</v>
      </c>
      <c r="B6" s="3">
        <f>(B17/D17) - 1</f>
        <v>3.232334432955386E-2</v>
      </c>
      <c r="C6" s="3">
        <f>B17/G17-1</f>
        <v>1.3414864185110664</v>
      </c>
      <c r="D6" s="3">
        <f>B17/L17-1</f>
        <v>0.98375239718730034</v>
      </c>
      <c r="G6" t="s">
        <v>47</v>
      </c>
    </row>
    <row r="8" spans="1:12">
      <c r="A8" t="s">
        <v>48</v>
      </c>
    </row>
    <row r="11" spans="1:12">
      <c r="A11" t="s">
        <v>49</v>
      </c>
      <c r="C11" t="s">
        <v>50</v>
      </c>
      <c r="D11" t="s">
        <v>51</v>
      </c>
    </row>
    <row r="14" spans="1:12">
      <c r="B14" t="s">
        <v>52</v>
      </c>
      <c r="C14">
        <v>2019</v>
      </c>
      <c r="D14">
        <v>2018</v>
      </c>
      <c r="E14">
        <v>2017</v>
      </c>
      <c r="F14">
        <v>2016</v>
      </c>
      <c r="G14">
        <v>2015</v>
      </c>
      <c r="H14">
        <v>2014</v>
      </c>
      <c r="I14">
        <v>2013</v>
      </c>
      <c r="J14">
        <v>2012</v>
      </c>
      <c r="K14">
        <v>2011</v>
      </c>
      <c r="L14">
        <v>2010</v>
      </c>
    </row>
    <row r="15" spans="1:12">
      <c r="A15" t="s">
        <v>36</v>
      </c>
      <c r="C15">
        <v>4.8</v>
      </c>
      <c r="D15">
        <v>5.4</v>
      </c>
      <c r="E15">
        <v>5.2</v>
      </c>
      <c r="F15">
        <v>4.8</v>
      </c>
      <c r="G15">
        <v>5.9</v>
      </c>
      <c r="H15">
        <v>6.3</v>
      </c>
      <c r="I15">
        <v>6.9</v>
      </c>
      <c r="J15">
        <v>6.8</v>
      </c>
      <c r="K15">
        <v>6.1</v>
      </c>
      <c r="L15">
        <v>4.5</v>
      </c>
    </row>
    <row r="16" spans="1:12">
      <c r="A16" t="s">
        <v>53</v>
      </c>
      <c r="C16">
        <v>45.5</v>
      </c>
      <c r="D16">
        <v>43</v>
      </c>
      <c r="E16">
        <v>42.5</v>
      </c>
      <c r="F16">
        <v>40</v>
      </c>
      <c r="G16">
        <v>38</v>
      </c>
      <c r="H16">
        <v>35.799999999999997</v>
      </c>
      <c r="I16">
        <v>32.5</v>
      </c>
      <c r="J16">
        <v>30.2</v>
      </c>
      <c r="K16">
        <v>26.9</v>
      </c>
      <c r="L16">
        <v>24.3</v>
      </c>
    </row>
    <row r="17" spans="1:12">
      <c r="A17" t="s">
        <v>46</v>
      </c>
      <c r="B17" s="5">
        <v>37239</v>
      </c>
      <c r="C17" s="5">
        <v>6730</v>
      </c>
      <c r="D17" s="5">
        <v>36073</v>
      </c>
      <c r="E17" s="5">
        <v>18619</v>
      </c>
      <c r="F17" s="5">
        <v>1008</v>
      </c>
      <c r="G17" s="5">
        <v>15904</v>
      </c>
      <c r="H17" s="5">
        <v>17529</v>
      </c>
      <c r="I17" s="5">
        <v>57641</v>
      </c>
      <c r="J17" s="5">
        <v>58540</v>
      </c>
      <c r="K17" s="5">
        <v>13665</v>
      </c>
      <c r="L17" s="5">
        <v>18772</v>
      </c>
    </row>
    <row r="18" spans="1:12">
      <c r="A18" t="s">
        <v>54</v>
      </c>
      <c r="C18" s="6">
        <v>103915</v>
      </c>
      <c r="D18" s="6">
        <v>101060</v>
      </c>
      <c r="E18" s="6">
        <v>97741</v>
      </c>
      <c r="F18" s="6">
        <v>94176</v>
      </c>
      <c r="G18" s="6">
        <v>90033</v>
      </c>
      <c r="H18" s="6">
        <v>88372</v>
      </c>
      <c r="I18" s="6">
        <v>88069</v>
      </c>
      <c r="J18" s="6">
        <v>91247</v>
      </c>
      <c r="K18" s="6">
        <v>87597</v>
      </c>
      <c r="L18" s="6">
        <v>93249</v>
      </c>
    </row>
    <row r="19" spans="1:12">
      <c r="A19" t="s">
        <v>55</v>
      </c>
      <c r="B19" s="8">
        <v>1.62</v>
      </c>
      <c r="C19" s="7">
        <v>4.05</v>
      </c>
      <c r="D19" s="7">
        <v>4.28</v>
      </c>
      <c r="E19" s="7">
        <v>4.0999999999999996</v>
      </c>
      <c r="F19" s="7">
        <v>3.99</v>
      </c>
      <c r="G19" s="7">
        <v>4.12</v>
      </c>
      <c r="H19" s="7">
        <v>4.0999999999999996</v>
      </c>
      <c r="I19" s="7">
        <v>3.89</v>
      </c>
      <c r="J19" s="7">
        <v>3.36</v>
      </c>
      <c r="K19" s="7">
        <v>2.82</v>
      </c>
      <c r="L19" s="7">
        <v>2.21</v>
      </c>
    </row>
    <row r="21" spans="1:12">
      <c r="A21" t="s">
        <v>56</v>
      </c>
    </row>
    <row r="22" spans="1:12">
      <c r="A22" t="s">
        <v>57</v>
      </c>
      <c r="G22">
        <f>C16/L16 * 100</f>
        <v>187.24279835390948</v>
      </c>
    </row>
    <row r="23" spans="1:12">
      <c r="A23" t="s">
        <v>58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opLeftCell="A3" workbookViewId="0">
      <selection activeCell="C33" sqref="C33"/>
    </sheetView>
  </sheetViews>
  <sheetFormatPr defaultRowHeight="14.45"/>
  <cols>
    <col min="1" max="1" width="26.42578125" bestFit="1" customWidth="1"/>
    <col min="2" max="2" width="30" bestFit="1" customWidth="1"/>
    <col min="3" max="3" width="71" bestFit="1" customWidth="1"/>
    <col min="4" max="4" width="51.28515625" bestFit="1" customWidth="1"/>
    <col min="5" max="5" width="59.5703125" bestFit="1" customWidth="1"/>
  </cols>
  <sheetData>
    <row r="1" spans="1:4">
      <c r="B1" t="s">
        <v>59</v>
      </c>
    </row>
    <row r="2" spans="1:4">
      <c r="A2" t="s">
        <v>0</v>
      </c>
      <c r="B2" t="s">
        <v>60</v>
      </c>
    </row>
    <row r="3" spans="1:4">
      <c r="A3" t="s">
        <v>2</v>
      </c>
      <c r="B3" t="s">
        <v>61</v>
      </c>
    </row>
    <row r="4" spans="1:4">
      <c r="A4" t="s">
        <v>62</v>
      </c>
      <c r="B4" s="18">
        <v>491300000</v>
      </c>
      <c r="C4" t="s">
        <v>63</v>
      </c>
    </row>
    <row r="5" spans="1:4">
      <c r="A5" t="s">
        <v>64</v>
      </c>
      <c r="B5" s="3">
        <v>0.1</v>
      </c>
      <c r="C5" t="s">
        <v>65</v>
      </c>
      <c r="D5" t="s">
        <v>66</v>
      </c>
    </row>
    <row r="6" spans="1:4">
      <c r="A6" t="s">
        <v>67</v>
      </c>
      <c r="B6" s="3">
        <v>0.1</v>
      </c>
      <c r="C6" t="s">
        <v>66</v>
      </c>
    </row>
    <row r="7" spans="1:4">
      <c r="A7" t="s">
        <v>68</v>
      </c>
      <c r="B7" s="9">
        <v>0.15</v>
      </c>
      <c r="C7" t="s">
        <v>69</v>
      </c>
    </row>
    <row r="8" spans="1:4">
      <c r="A8" t="s">
        <v>70</v>
      </c>
      <c r="B8" s="1">
        <v>15</v>
      </c>
      <c r="C8" t="s">
        <v>71</v>
      </c>
      <c r="D8" t="s">
        <v>72</v>
      </c>
    </row>
    <row r="9" spans="1:4">
      <c r="A9" t="s">
        <v>73</v>
      </c>
      <c r="B9" s="1">
        <v>910000000</v>
      </c>
    </row>
    <row r="10" spans="1:4">
      <c r="A10" t="s">
        <v>74</v>
      </c>
      <c r="B10" s="19">
        <v>191000000</v>
      </c>
    </row>
    <row r="12" spans="1:4">
      <c r="A12" t="s">
        <v>75</v>
      </c>
      <c r="B12" t="s">
        <v>46</v>
      </c>
      <c r="C12" t="s">
        <v>76</v>
      </c>
    </row>
    <row r="13" spans="1:4">
      <c r="A13">
        <v>1</v>
      </c>
      <c r="B13" s="1">
        <f>B4</f>
        <v>491300000</v>
      </c>
      <c r="C13" s="1">
        <f>B13/(1+B7)^A13</f>
        <v>427217391.30434787</v>
      </c>
    </row>
    <row r="14" spans="1:4">
      <c r="A14">
        <v>2</v>
      </c>
      <c r="B14" s="1">
        <f>B13*(1+B5)</f>
        <v>540430000</v>
      </c>
      <c r="C14" s="1">
        <f>B14/(1+B7)^A14</f>
        <v>408642722.11720234</v>
      </c>
    </row>
    <row r="15" spans="1:4">
      <c r="A15">
        <v>3</v>
      </c>
      <c r="B15" s="1">
        <f>B14*(1+B5)</f>
        <v>594473000</v>
      </c>
      <c r="C15" s="1">
        <f>B15/(1+B7)^A15</f>
        <v>390875647.24254143</v>
      </c>
    </row>
    <row r="16" spans="1:4">
      <c r="A16">
        <v>4</v>
      </c>
      <c r="B16" s="1">
        <f>B15*(1+B5)</f>
        <v>653920300</v>
      </c>
      <c r="C16" s="1">
        <f>B16/(1+B7)^A16</f>
        <v>373881053.88417006</v>
      </c>
    </row>
    <row r="17" spans="1:5">
      <c r="A17">
        <v>5</v>
      </c>
      <c r="B17" s="1">
        <f>B16*(1+B5)</f>
        <v>719312330</v>
      </c>
      <c r="C17" s="1">
        <f>B17/(1+B7)^A17</f>
        <v>357625355.88920617</v>
      </c>
    </row>
    <row r="18" spans="1:5">
      <c r="A18">
        <v>6</v>
      </c>
      <c r="B18" s="1">
        <f>B17*(1+B6)</f>
        <v>791243563.00000012</v>
      </c>
      <c r="C18" s="1">
        <f>B18/(1+B7)^A18</f>
        <v>342076427.37228423</v>
      </c>
    </row>
    <row r="19" spans="1:5">
      <c r="A19">
        <v>7</v>
      </c>
      <c r="B19" s="1">
        <f>B18*(1+B6)</f>
        <v>870367919.30000019</v>
      </c>
      <c r="C19" s="1">
        <f>B19/(1+B7)^A19</f>
        <v>327203539.22566324</v>
      </c>
    </row>
    <row r="20" spans="1:5">
      <c r="A20">
        <v>8</v>
      </c>
      <c r="B20" s="1">
        <f>B19*(1+B6)</f>
        <v>957404711.23000026</v>
      </c>
      <c r="C20" s="1">
        <f>B20/(1+B7)^A20</f>
        <v>312977298.3897649</v>
      </c>
    </row>
    <row r="21" spans="1:5">
      <c r="A21">
        <v>9</v>
      </c>
      <c r="B21" s="1">
        <f>B20*(1+B6)</f>
        <v>1053145182.3530004</v>
      </c>
      <c r="C21" s="1">
        <f>B21/(1+B7)^A21</f>
        <v>299369589.76412302</v>
      </c>
    </row>
    <row r="22" spans="1:5">
      <c r="A22">
        <v>10</v>
      </c>
      <c r="B22" s="1">
        <f>B21*(1+B6)</f>
        <v>1158459700.5883005</v>
      </c>
      <c r="C22" s="1">
        <f>B22/(1+B7)^A22</f>
        <v>286353520.64394379</v>
      </c>
    </row>
    <row r="23" spans="1:5">
      <c r="A23">
        <v>10</v>
      </c>
      <c r="B23" s="1">
        <f>B22*B8</f>
        <v>17376895508.824509</v>
      </c>
      <c r="C23" s="1">
        <f>B23/(1+B7)^A23</f>
        <v>4295302809.6591568</v>
      </c>
      <c r="D23" t="s">
        <v>77</v>
      </c>
    </row>
    <row r="24" spans="1:5">
      <c r="B24" t="s">
        <v>78</v>
      </c>
      <c r="C24" s="1">
        <f>SUM(C13:C23)</f>
        <v>7821525355.492403</v>
      </c>
    </row>
    <row r="25" spans="1:5">
      <c r="B25" t="s">
        <v>79</v>
      </c>
      <c r="C25" s="1">
        <f>C24+B9</f>
        <v>8731525355.492403</v>
      </c>
      <c r="D25" t="s">
        <v>80</v>
      </c>
    </row>
    <row r="26" spans="1:5">
      <c r="B26" t="s">
        <v>81</v>
      </c>
      <c r="C26" s="4">
        <f>C24</f>
        <v>7821525355.492403</v>
      </c>
      <c r="D26" t="s">
        <v>82</v>
      </c>
      <c r="E26" t="s">
        <v>83</v>
      </c>
    </row>
    <row r="27" spans="1:5">
      <c r="B27" t="s">
        <v>84</v>
      </c>
      <c r="C27" s="1">
        <f>C25/B10</f>
        <v>45.714792437132999</v>
      </c>
    </row>
    <row r="28" spans="1:5">
      <c r="B28" t="s">
        <v>85</v>
      </c>
      <c r="C28" s="1">
        <f>C27*0.7</f>
        <v>32.000354705993097</v>
      </c>
    </row>
    <row r="29" spans="1:5">
      <c r="B29" t="s">
        <v>86</v>
      </c>
      <c r="C29" s="1">
        <f>C27*0.5</f>
        <v>22.8573962185665</v>
      </c>
    </row>
    <row r="32" spans="1:5">
      <c r="C32" t="s">
        <v>87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>
      <selection activeCell="B10" sqref="B10"/>
    </sheetView>
  </sheetViews>
  <sheetFormatPr defaultRowHeight="14.45"/>
  <cols>
    <col min="1" max="1" width="20.7109375" bestFit="1" customWidth="1"/>
    <col min="2" max="2" width="11" bestFit="1" customWidth="1"/>
    <col min="3" max="3" width="65.28515625" bestFit="1" customWidth="1"/>
    <col min="4" max="4" width="18.140625" bestFit="1" customWidth="1"/>
    <col min="5" max="5" width="69.140625" bestFit="1" customWidth="1"/>
    <col min="6" max="6" width="22.28515625" bestFit="1" customWidth="1"/>
    <col min="13" max="13" width="150.42578125" bestFit="1" customWidth="1"/>
  </cols>
  <sheetData>
    <row r="1" spans="1:13">
      <c r="B1" t="s">
        <v>88</v>
      </c>
      <c r="C1" t="s">
        <v>89</v>
      </c>
    </row>
    <row r="2" spans="1:13">
      <c r="A2" t="s">
        <v>0</v>
      </c>
      <c r="B2" t="s">
        <v>90</v>
      </c>
      <c r="M2" t="s">
        <v>91</v>
      </c>
    </row>
    <row r="3" spans="1:13">
      <c r="A3" t="s">
        <v>2</v>
      </c>
      <c r="B3" t="s">
        <v>61</v>
      </c>
    </row>
    <row r="4" spans="1:13">
      <c r="A4" t="s">
        <v>92</v>
      </c>
      <c r="B4" s="7">
        <v>4.05</v>
      </c>
      <c r="C4" t="s">
        <v>93</v>
      </c>
    </row>
    <row r="5" spans="1:13">
      <c r="A5" t="s">
        <v>64</v>
      </c>
      <c r="B5" s="3">
        <v>0.12</v>
      </c>
      <c r="C5" t="s">
        <v>94</v>
      </c>
    </row>
    <row r="6" spans="1:13">
      <c r="A6" t="s">
        <v>67</v>
      </c>
      <c r="B6" s="3">
        <v>0.05</v>
      </c>
    </row>
    <row r="7" spans="1:13">
      <c r="A7" t="s">
        <v>95</v>
      </c>
      <c r="B7" s="3">
        <v>0.15</v>
      </c>
      <c r="C7" t="s">
        <v>96</v>
      </c>
    </row>
    <row r="8" spans="1:13">
      <c r="A8" t="s">
        <v>97</v>
      </c>
      <c r="B8" s="3">
        <v>0.5</v>
      </c>
      <c r="C8" t="s">
        <v>98</v>
      </c>
    </row>
    <row r="9" spans="1:13">
      <c r="A9" t="s">
        <v>99</v>
      </c>
      <c r="B9" s="1">
        <v>25</v>
      </c>
      <c r="C9" t="s">
        <v>100</v>
      </c>
      <c r="D9" t="s">
        <v>101</v>
      </c>
      <c r="E9" t="s">
        <v>102</v>
      </c>
      <c r="F9" t="s">
        <v>103</v>
      </c>
    </row>
    <row r="11" spans="1:13">
      <c r="A11" t="s">
        <v>75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</row>
    <row r="12" spans="1:13">
      <c r="A12" t="s">
        <v>55</v>
      </c>
      <c r="B12" s="2">
        <f>B4</f>
        <v>4.05</v>
      </c>
      <c r="C12" s="2">
        <f>B12+(B12*$B$5)</f>
        <v>4.5359999999999996</v>
      </c>
      <c r="D12" s="2">
        <f>C12+(C12*$B$5)</f>
        <v>5.0803199999999995</v>
      </c>
      <c r="E12" s="2">
        <f>D12+(D12*$B$5)</f>
        <v>5.6899583999999992</v>
      </c>
      <c r="F12" s="2">
        <f>E12+(E12*$B$5)</f>
        <v>6.3727534079999995</v>
      </c>
      <c r="G12" s="2">
        <f>F12+(F12*$B$6)</f>
        <v>6.6913910783999997</v>
      </c>
      <c r="H12" s="2">
        <f>G12+(G12*$B$6)</f>
        <v>7.0259606323199995</v>
      </c>
      <c r="I12" s="2">
        <f>H12+(H12*$B$6)</f>
        <v>7.3772586639359998</v>
      </c>
      <c r="J12" s="2">
        <f>I12+(I12*$B$6)</f>
        <v>7.7461215971327997</v>
      </c>
      <c r="K12" s="2">
        <f>J12+(J12*$B$6)</f>
        <v>8.1334276769894398</v>
      </c>
    </row>
    <row r="13" spans="1:13">
      <c r="A13" t="s">
        <v>104</v>
      </c>
      <c r="B13" s="2">
        <f t="shared" ref="B13:J13" si="0">C13/(1+$B$7)</f>
        <v>57.800694240377439</v>
      </c>
      <c r="C13" s="2">
        <f t="shared" si="0"/>
        <v>66.470798376434047</v>
      </c>
      <c r="D13" s="2">
        <f t="shared" si="0"/>
        <v>76.441418132899145</v>
      </c>
      <c r="E13" s="2">
        <f t="shared" si="0"/>
        <v>87.907630852834004</v>
      </c>
      <c r="F13" s="2">
        <f t="shared" si="0"/>
        <v>101.09377548075909</v>
      </c>
      <c r="G13" s="2">
        <f t="shared" si="0"/>
        <v>116.25784180287295</v>
      </c>
      <c r="H13" s="2">
        <f t="shared" si="0"/>
        <v>133.69651807330388</v>
      </c>
      <c r="I13" s="2">
        <f t="shared" si="0"/>
        <v>153.75099578429945</v>
      </c>
      <c r="J13" s="2">
        <f t="shared" si="0"/>
        <v>176.81364515194434</v>
      </c>
      <c r="K13" s="2">
        <f>K12*B9</f>
        <v>203.33569192473598</v>
      </c>
    </row>
    <row r="14" spans="1:13">
      <c r="A14" t="s">
        <v>105</v>
      </c>
      <c r="B14" s="2">
        <f>B13*(1-B8)</f>
        <v>28.900347120188719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a.jakob.kamnik@gmail.com</dc:creator>
  <cp:keywords/>
  <dc:description/>
  <cp:lastModifiedBy>Jakob Kamnik</cp:lastModifiedBy>
  <cp:revision/>
  <dcterms:created xsi:type="dcterms:W3CDTF">2020-12-02T12:24:31Z</dcterms:created>
  <dcterms:modified xsi:type="dcterms:W3CDTF">2025-12-09T13:26:33Z</dcterms:modified>
  <cp:category/>
  <cp:contentStatus/>
</cp:coreProperties>
</file>